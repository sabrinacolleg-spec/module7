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dministrator/Downloads/"/>
    </mc:Choice>
  </mc:AlternateContent>
  <xr:revisionPtr revIDLastSave="0" documentId="13_ncr:1_{FC1B1450-2D79-4D40-98D4-4ADFE27946DA}" xr6:coauthVersionLast="47" xr6:coauthVersionMax="47" xr10:uidLastSave="{00000000-0000-0000-0000-000000000000}"/>
  <bookViews>
    <workbookView xWindow="0" yWindow="600" windowWidth="35840" windowHeight="21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ktuIakfJuOZSp9Zm98HeYTGWhTcICP1Cetnwb1n5Pc="/>
    </ext>
  </extLst>
</workbook>
</file>

<file path=xl/calcChain.xml><?xml version="1.0" encoding="utf-8"?>
<calcChain xmlns="http://schemas.openxmlformats.org/spreadsheetml/2006/main">
  <c r="N15" i="1" l="1"/>
  <c r="N14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D52" i="1" s="1"/>
  <c r="I2" i="1"/>
  <c r="D45" i="1" l="1"/>
  <c r="N5" i="1"/>
  <c r="N8" i="1"/>
  <c r="D46" i="1"/>
  <c r="N2" i="1"/>
  <c r="N11" i="1"/>
  <c r="D47" i="1"/>
  <c r="N6" i="1"/>
  <c r="N9" i="1"/>
  <c r="N12" i="1"/>
  <c r="D41" i="1"/>
  <c r="D48" i="1"/>
  <c r="N3" i="1"/>
  <c r="D42" i="1"/>
  <c r="E42" i="1" s="1"/>
  <c r="D49" i="1"/>
  <c r="D43" i="1"/>
  <c r="D50" i="1"/>
  <c r="N7" i="1"/>
  <c r="N10" i="1"/>
  <c r="N13" i="1"/>
  <c r="N4" i="1"/>
  <c r="D44" i="1"/>
  <c r="D51" i="1"/>
  <c r="O13" i="1" l="1"/>
  <c r="O10" i="1"/>
  <c r="O7" i="1"/>
  <c r="O4" i="1"/>
  <c r="O9" i="1"/>
  <c r="O6" i="1"/>
  <c r="O3" i="1"/>
  <c r="O12" i="1"/>
  <c r="B37" i="1"/>
  <c r="O11" i="1"/>
  <c r="O5" i="1"/>
  <c r="O2" i="1"/>
  <c r="B36" i="1"/>
  <c r="O8" i="1"/>
  <c r="E47" i="1"/>
  <c r="E44" i="1"/>
  <c r="F43" i="1" s="1"/>
  <c r="E50" i="1"/>
  <c r="F49" i="1" s="1"/>
  <c r="B38" i="1"/>
  <c r="B39" i="1"/>
  <c r="F46" i="1" l="1"/>
</calcChain>
</file>

<file path=xl/sharedStrings.xml><?xml version="1.0" encoding="utf-8"?>
<sst xmlns="http://schemas.openxmlformats.org/spreadsheetml/2006/main" count="172" uniqueCount="83">
  <si>
    <t>transaction_id</t>
  </si>
  <si>
    <t>date</t>
  </si>
  <si>
    <t>product</t>
  </si>
  <si>
    <t>category</t>
  </si>
  <si>
    <t>quantity</t>
  </si>
  <si>
    <t>price</t>
  </si>
  <si>
    <t>shop</t>
  </si>
  <si>
    <t>manager</t>
  </si>
  <si>
    <t>выручка за транзакции</t>
  </si>
  <si>
    <t>Месяц</t>
  </si>
  <si>
    <t>Выручка</t>
  </si>
  <si>
    <t>Среднее значение</t>
  </si>
  <si>
    <t>TXN-0001</t>
  </si>
  <si>
    <t>утюг philips</t>
  </si>
  <si>
    <t>Пылесосы</t>
  </si>
  <si>
    <t>Яндекс.Маркет</t>
  </si>
  <si>
    <t>Иванов И.И.</t>
  </si>
  <si>
    <t>TXN-0002</t>
  </si>
  <si>
    <t>Микроволновая печь Midea</t>
  </si>
  <si>
    <t>Стиральные машины</t>
  </si>
  <si>
    <t>Эльдорадо</t>
  </si>
  <si>
    <t>Смирнова Е.В.</t>
  </si>
  <si>
    <t>TXN-0008</t>
  </si>
  <si>
    <t>Утюг Philips</t>
  </si>
  <si>
    <t>TXN-0012</t>
  </si>
  <si>
    <t>Телевизоры</t>
  </si>
  <si>
    <t>Сидоров В.К.</t>
  </si>
  <si>
    <t>TXN-0030</t>
  </si>
  <si>
    <t>Чайник Kitfort</t>
  </si>
  <si>
    <t>TXN-0039</t>
  </si>
  <si>
    <t>ДНС</t>
  </si>
  <si>
    <t>TXN-0040</t>
  </si>
  <si>
    <t>Пылесос Dyson</t>
  </si>
  <si>
    <t>телевизоры</t>
  </si>
  <si>
    <t>TXN-0044</t>
  </si>
  <si>
    <t>TXN-0045</t>
  </si>
  <si>
    <t>Холодильники</t>
  </si>
  <si>
    <t>смирнова е.в.</t>
  </si>
  <si>
    <t>TXN-0047</t>
  </si>
  <si>
    <t>Холодильник LG</t>
  </si>
  <si>
    <t>TXN0051</t>
  </si>
  <si>
    <t>Мелкая бытовая техника</t>
  </si>
  <si>
    <t>TXN-0053</t>
  </si>
  <si>
    <t>Стиральная машина Bosch</t>
  </si>
  <si>
    <t>Петрова А.С.</t>
  </si>
  <si>
    <t>TXN-0075</t>
  </si>
  <si>
    <t>Пылесос Dison</t>
  </si>
  <si>
    <t>за год</t>
  </si>
  <si>
    <t>TXN-0077</t>
  </si>
  <si>
    <t>Ситилинк</t>
  </si>
  <si>
    <t>среднее значение</t>
  </si>
  <si>
    <t>TXN-0083</t>
  </si>
  <si>
    <t>телевизор samsung 4k</t>
  </si>
  <si>
    <t>TXN-0096</t>
  </si>
  <si>
    <t>чайник kitfort</t>
  </si>
  <si>
    <t>мелкaя бытовaя техникa</t>
  </si>
  <si>
    <t>TXN-0097</t>
  </si>
  <si>
    <t>М.Видео</t>
  </si>
  <si>
    <t>TXN-0100</t>
  </si>
  <si>
    <t>TXN-0101</t>
  </si>
  <si>
    <t>TXN-0102</t>
  </si>
  <si>
    <t xml:space="preserve"> Пылесос Dyson </t>
  </si>
  <si>
    <t>TXN-0104</t>
  </si>
  <si>
    <t>TXN-0107</t>
  </si>
  <si>
    <t>TXN-0108</t>
  </si>
  <si>
    <t>TXN-0116</t>
  </si>
  <si>
    <t>TXN-0117</t>
  </si>
  <si>
    <t>TXN-0122</t>
  </si>
  <si>
    <t>пылесосы</t>
  </si>
  <si>
    <t>TXN-0151</t>
  </si>
  <si>
    <t>микроволновая печь midea</t>
  </si>
  <si>
    <t>TXN-0169</t>
  </si>
  <si>
    <t>TXN-0170</t>
  </si>
  <si>
    <t>стиральная машина bosch</t>
  </si>
  <si>
    <t>TXN-0200</t>
  </si>
  <si>
    <t>Телевизор Samsung</t>
  </si>
  <si>
    <t>весна</t>
  </si>
  <si>
    <t>зима</t>
  </si>
  <si>
    <t>лето</t>
  </si>
  <si>
    <t>осень</t>
  </si>
  <si>
    <t>ноябрь</t>
  </si>
  <si>
    <t>Б</t>
  </si>
  <si>
    <t xml:space="preserve">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</si>
</sst>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.mm\.yyyy"/>
    <numFmt numFmtId="165" formatCode="d\.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2" fontId="5" fillId="0" borderId="0" xfId="0" applyNumberFormat="1" applyFont="1"/>
    <xf numFmtId="165" fontId="3" fillId="0" borderId="0" xfId="0" applyNumberFormat="1" applyFont="1"/>
    <xf numFmtId="2" fontId="3" fillId="0" borderId="0" xfId="0" applyNumberFormat="1" applyFont="1"/>
    <xf numFmtId="0" fontId="5" fillId="2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2" fontId="5" fillId="0" borderId="0" xfId="0" applyNumberFormat="1" applyFont="1" applyAlignment="1">
      <alignment horizontal="right"/>
    </xf>
    <xf numFmtId="1" fontId="3" fillId="0" borderId="0" xfId="0" applyNumberFormat="1" applyFont="1"/>
    <xf numFmtId="1" fontId="5" fillId="0" borderId="0" xfId="0" applyNumberFormat="1" applyFont="1" applyAlignment="1">
      <alignment horizontal="right"/>
    </xf>
    <xf numFmtId="0" fontId="5" fillId="0" borderId="0" xfId="0" applyFont="1"/>
  </cellXfs>
  <cellStyles count="1">
    <cellStyle name="Обычный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ru-RU" b="0">
                <a:solidFill>
                  <a:srgbClr val="757575"/>
                </a:solidFill>
                <a:latin typeface="+mn-lt"/>
              </a:rPr>
              <a:t>Выручка и Среднее значение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Sheet1!$N$1</c:f>
              <c:strCache>
                <c:ptCount val="1"/>
                <c:pt idx="0">
                  <c:v>Выручка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Sheet1!$M$2:$M$13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Sheet1!$N$2:$N$13</c:f>
              <c:numCache>
                <c:formatCode>General</c:formatCode>
                <c:ptCount val="12"/>
                <c:pt idx="0">
                  <c:v>413985</c:v>
                </c:pt>
                <c:pt idx="1">
                  <c:v>1278414</c:v>
                </c:pt>
                <c:pt idx="2">
                  <c:v>1208502</c:v>
                </c:pt>
                <c:pt idx="3">
                  <c:v>526072</c:v>
                </c:pt>
                <c:pt idx="4">
                  <c:v>279840</c:v>
                </c:pt>
                <c:pt idx="5">
                  <c:v>598556</c:v>
                </c:pt>
                <c:pt idx="6">
                  <c:v>234172</c:v>
                </c:pt>
                <c:pt idx="7">
                  <c:v>332508</c:v>
                </c:pt>
                <c:pt idx="8">
                  <c:v>127949</c:v>
                </c:pt>
                <c:pt idx="9">
                  <c:v>716678</c:v>
                </c:pt>
                <c:pt idx="10">
                  <c:v>1794540</c:v>
                </c:pt>
                <c:pt idx="11">
                  <c:v>248464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D-814B-87D7-F40529BA8A12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Среднее значение</c:v>
                </c:pt>
              </c:strCache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Sheet1!$M$2:$M$13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Sheet1!$O$2:$O$13</c:f>
              <c:numCache>
                <c:formatCode>General</c:formatCode>
                <c:ptCount val="12"/>
                <c:pt idx="0">
                  <c:v>646640</c:v>
                </c:pt>
                <c:pt idx="1">
                  <c:v>646640</c:v>
                </c:pt>
                <c:pt idx="2">
                  <c:v>646640</c:v>
                </c:pt>
                <c:pt idx="3">
                  <c:v>646640</c:v>
                </c:pt>
                <c:pt idx="4">
                  <c:v>646640</c:v>
                </c:pt>
                <c:pt idx="5">
                  <c:v>646640</c:v>
                </c:pt>
                <c:pt idx="6">
                  <c:v>646640</c:v>
                </c:pt>
                <c:pt idx="7">
                  <c:v>646640</c:v>
                </c:pt>
                <c:pt idx="8">
                  <c:v>646640</c:v>
                </c:pt>
                <c:pt idx="9">
                  <c:v>646640</c:v>
                </c:pt>
                <c:pt idx="10">
                  <c:v>646640</c:v>
                </c:pt>
                <c:pt idx="11">
                  <c:v>646640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FD-814B-87D7-F40529BA8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448974"/>
        <c:axId val="987811068"/>
      </c:lineChart>
      <c:catAx>
        <c:axId val="1962448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987811068"/>
        <c:crosses val="autoZero"/>
        <c:auto val="1"/>
        <c:lblAlgn val="ctr"/>
        <c:lblOffset val="100"/>
        <c:noMultiLvlLbl val="1"/>
      </c:catAx>
      <c:valAx>
        <c:axId val="987811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624489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609600</xdr:colOff>
      <xdr:row>15</xdr:row>
      <xdr:rowOff>152400</xdr:rowOff>
    </xdr:from>
    <xdr:ext cx="5715000" cy="3533775"/>
    <xdr:graphicFrame macro="">
      <xdr:nvGraphicFramePr>
        <xdr:cNvPr id="769589606" name="Chart 1" title="Диаграмма">
          <a:extLst>
            <a:ext uri="{FF2B5EF4-FFF2-40B4-BE49-F238E27FC236}">
              <a16:creationId xmlns:a16="http://schemas.microsoft.com/office/drawing/2014/main" id="{00000000-0008-0000-0000-00006601D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J31">
  <tableColumns count="10">
    <tableColumn id="1" xr3:uid="{00000000-0010-0000-0000-000001000000}" name="transaction_id"/>
    <tableColumn id="2" xr3:uid="{00000000-0010-0000-0000-000002000000}" name="date"/>
    <tableColumn id="3" xr3:uid="{00000000-0010-0000-0000-000003000000}" name="product"/>
    <tableColumn id="4" xr3:uid="{00000000-0010-0000-0000-000004000000}" name="category"/>
    <tableColumn id="5" xr3:uid="{00000000-0010-0000-0000-000005000000}" name="quantity"/>
    <tableColumn id="6" xr3:uid="{00000000-0010-0000-0000-000006000000}" name="price"/>
    <tableColumn id="7" xr3:uid="{00000000-0010-0000-0000-000007000000}" name="shop"/>
    <tableColumn id="8" xr3:uid="{00000000-0010-0000-0000-000008000000}" name="manager"/>
    <tableColumn id="9" xr3:uid="{00000000-0010-0000-0000-000009000000}" name="выручка за транзакции"/>
    <tableColumn id="10" xr3:uid="{00000000-0010-0000-0000-00000A000000}" name="Месяц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="119" workbookViewId="0">
      <pane ySplit="1" topLeftCell="A26" activePane="bottomLeft" state="frozen"/>
      <selection pane="bottomLeft" activeCell="C58" sqref="C58"/>
    </sheetView>
  </sheetViews>
  <sheetFormatPr baseColWidth="10" defaultColWidth="14.5" defaultRowHeight="15" customHeight="1" x14ac:dyDescent="0.2"/>
  <cols>
    <col min="1" max="1" width="18.6640625" customWidth="1"/>
    <col min="2" max="2" width="18.1640625" customWidth="1"/>
    <col min="3" max="3" width="27.1640625" customWidth="1"/>
    <col min="4" max="4" width="24.5" customWidth="1"/>
    <col min="5" max="5" width="17.33203125" customWidth="1"/>
    <col min="6" max="6" width="19.5" customWidth="1"/>
    <col min="7" max="7" width="20.5" customWidth="1"/>
    <col min="8" max="8" width="20" customWidth="1"/>
    <col min="9" max="9" width="29.6640625" customWidth="1"/>
    <col min="10" max="10" width="16.5" customWidth="1"/>
    <col min="11" max="11" width="9.5" customWidth="1"/>
    <col min="12" max="26" width="8.6640625" customWidth="1"/>
  </cols>
  <sheetData>
    <row r="1" spans="1:1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M1" s="3" t="s">
        <v>9</v>
      </c>
      <c r="N1" s="3" t="s">
        <v>10</v>
      </c>
      <c r="O1" s="3" t="s">
        <v>11</v>
      </c>
    </row>
    <row r="2" spans="1:15" ht="22.5" customHeight="1" x14ac:dyDescent="0.2">
      <c r="A2" s="4" t="s">
        <v>12</v>
      </c>
      <c r="B2" s="5">
        <v>46355</v>
      </c>
      <c r="C2" s="4" t="s">
        <v>13</v>
      </c>
      <c r="D2" s="4" t="s">
        <v>14</v>
      </c>
      <c r="E2" s="6">
        <v>2</v>
      </c>
      <c r="F2" s="7">
        <v>897270</v>
      </c>
      <c r="G2" s="4" t="s">
        <v>15</v>
      </c>
      <c r="H2" s="4" t="s">
        <v>16</v>
      </c>
      <c r="I2" s="8">
        <f t="shared" ref="I2:I31" si="0">F2*E2</f>
        <v>1794540</v>
      </c>
      <c r="J2" s="8">
        <f t="shared" ref="J2:J31" si="1">MONTH(B2)</f>
        <v>11</v>
      </c>
      <c r="M2" s="3">
        <v>1</v>
      </c>
      <c r="N2" s="3">
        <f t="shared" ref="N2:N13" si="2">SUMIF($J$2:$J$31,M2,$I$2:$I$31)</f>
        <v>413985</v>
      </c>
      <c r="O2" s="3">
        <f>AVERAGE(N2:N13)</f>
        <v>646640</v>
      </c>
    </row>
    <row r="3" spans="1:15" ht="22.5" customHeight="1" x14ac:dyDescent="0.2">
      <c r="A3" s="4" t="s">
        <v>17</v>
      </c>
      <c r="B3" s="5">
        <v>46135</v>
      </c>
      <c r="C3" s="4" t="s">
        <v>18</v>
      </c>
      <c r="D3" s="4" t="s">
        <v>19</v>
      </c>
      <c r="E3" s="6">
        <v>3</v>
      </c>
      <c r="F3" s="7">
        <v>87873</v>
      </c>
      <c r="G3" s="4" t="s">
        <v>20</v>
      </c>
      <c r="H3" s="4" t="s">
        <v>21</v>
      </c>
      <c r="I3" s="8">
        <f t="shared" si="0"/>
        <v>263619</v>
      </c>
      <c r="J3" s="8">
        <f t="shared" si="1"/>
        <v>4</v>
      </c>
      <c r="M3" s="3">
        <v>2</v>
      </c>
      <c r="N3" s="3">
        <f t="shared" si="2"/>
        <v>1278414</v>
      </c>
      <c r="O3" s="3">
        <f>AVERAGE(N2:N13)</f>
        <v>646640</v>
      </c>
    </row>
    <row r="4" spans="1:15" ht="22.5" customHeight="1" x14ac:dyDescent="0.2">
      <c r="A4" s="4" t="s">
        <v>22</v>
      </c>
      <c r="B4" s="5">
        <v>46070</v>
      </c>
      <c r="C4" s="4" t="s">
        <v>23</v>
      </c>
      <c r="D4" s="4" t="s">
        <v>14</v>
      </c>
      <c r="E4" s="6">
        <v>2</v>
      </c>
      <c r="F4" s="7">
        <v>77004</v>
      </c>
      <c r="G4" s="4" t="s">
        <v>20</v>
      </c>
      <c r="H4" s="4" t="s">
        <v>16</v>
      </c>
      <c r="I4" s="8">
        <f t="shared" si="0"/>
        <v>154008</v>
      </c>
      <c r="J4" s="8">
        <f t="shared" si="1"/>
        <v>2</v>
      </c>
      <c r="K4" s="9"/>
      <c r="M4" s="3">
        <v>3</v>
      </c>
      <c r="N4" s="3">
        <f t="shared" si="2"/>
        <v>1208502</v>
      </c>
      <c r="O4" s="3">
        <f>AVERAGE(N2:N13)</f>
        <v>646640</v>
      </c>
    </row>
    <row r="5" spans="1:15" ht="22.5" customHeight="1" x14ac:dyDescent="0.2">
      <c r="A5" s="4" t="s">
        <v>24</v>
      </c>
      <c r="B5" s="5">
        <v>46045</v>
      </c>
      <c r="C5" s="4" t="s">
        <v>23</v>
      </c>
      <c r="D5" s="4" t="s">
        <v>25</v>
      </c>
      <c r="E5" s="6">
        <v>3</v>
      </c>
      <c r="F5" s="7">
        <v>137995</v>
      </c>
      <c r="G5" s="4" t="s">
        <v>15</v>
      </c>
      <c r="H5" s="4" t="s">
        <v>26</v>
      </c>
      <c r="I5" s="8">
        <f t="shared" si="0"/>
        <v>413985</v>
      </c>
      <c r="J5" s="8">
        <f t="shared" si="1"/>
        <v>1</v>
      </c>
      <c r="M5" s="3">
        <v>4</v>
      </c>
      <c r="N5" s="3">
        <f t="shared" si="2"/>
        <v>526072</v>
      </c>
      <c r="O5" s="3">
        <f>AVERAGE(N2:N13)</f>
        <v>646640</v>
      </c>
    </row>
    <row r="6" spans="1:15" ht="22.5" customHeight="1" x14ac:dyDescent="0.2">
      <c r="A6" s="4" t="s">
        <v>27</v>
      </c>
      <c r="B6" s="5">
        <v>46106</v>
      </c>
      <c r="C6" s="4" t="s">
        <v>28</v>
      </c>
      <c r="D6" s="4" t="s">
        <v>19</v>
      </c>
      <c r="E6" s="6">
        <v>3</v>
      </c>
      <c r="F6" s="7">
        <v>129683</v>
      </c>
      <c r="G6" s="4" t="s">
        <v>20</v>
      </c>
      <c r="H6" s="4" t="s">
        <v>16</v>
      </c>
      <c r="I6" s="8">
        <f t="shared" si="0"/>
        <v>389049</v>
      </c>
      <c r="J6" s="8">
        <f t="shared" si="1"/>
        <v>3</v>
      </c>
      <c r="M6" s="3">
        <v>5</v>
      </c>
      <c r="N6" s="3">
        <f t="shared" si="2"/>
        <v>279840</v>
      </c>
      <c r="O6" s="3">
        <f>AVERAGE(N2:N13)</f>
        <v>646640</v>
      </c>
    </row>
    <row r="7" spans="1:15" ht="22.5" customHeight="1" x14ac:dyDescent="0.2">
      <c r="A7" s="4" t="s">
        <v>29</v>
      </c>
      <c r="B7" s="5">
        <v>46131</v>
      </c>
      <c r="C7" s="4" t="s">
        <v>23</v>
      </c>
      <c r="D7" s="4" t="s">
        <v>25</v>
      </c>
      <c r="E7" s="6">
        <v>1</v>
      </c>
      <c r="F7" s="7">
        <v>50235</v>
      </c>
      <c r="G7" s="4" t="s">
        <v>30</v>
      </c>
      <c r="H7" s="4" t="s">
        <v>26</v>
      </c>
      <c r="I7" s="8">
        <f t="shared" si="0"/>
        <v>50235</v>
      </c>
      <c r="J7" s="8">
        <f t="shared" si="1"/>
        <v>4</v>
      </c>
      <c r="M7" s="3">
        <v>6</v>
      </c>
      <c r="N7" s="3">
        <f t="shared" si="2"/>
        <v>598556</v>
      </c>
      <c r="O7" s="3">
        <f>AVERAGE(N2:N13)</f>
        <v>646640</v>
      </c>
    </row>
    <row r="8" spans="1:15" ht="22.5" customHeight="1" x14ac:dyDescent="0.2">
      <c r="A8" s="4" t="s">
        <v>31</v>
      </c>
      <c r="B8" s="5">
        <v>46225</v>
      </c>
      <c r="C8" s="4" t="s">
        <v>32</v>
      </c>
      <c r="D8" s="4" t="s">
        <v>33</v>
      </c>
      <c r="E8" s="6">
        <v>2</v>
      </c>
      <c r="F8" s="7">
        <v>15260</v>
      </c>
      <c r="G8" s="4" t="s">
        <v>30</v>
      </c>
      <c r="H8" s="4" t="s">
        <v>26</v>
      </c>
      <c r="I8" s="8">
        <f t="shared" si="0"/>
        <v>30520</v>
      </c>
      <c r="J8" s="8">
        <f t="shared" si="1"/>
        <v>7</v>
      </c>
      <c r="M8" s="3">
        <v>7</v>
      </c>
      <c r="N8" s="3">
        <f t="shared" si="2"/>
        <v>234172</v>
      </c>
      <c r="O8" s="3">
        <f>AVERAGE(N2:N13)</f>
        <v>646640</v>
      </c>
    </row>
    <row r="9" spans="1:15" ht="22.5" customHeight="1" x14ac:dyDescent="0.2">
      <c r="A9" s="4" t="s">
        <v>34</v>
      </c>
      <c r="B9" s="5">
        <v>46322</v>
      </c>
      <c r="C9" s="4" t="s">
        <v>23</v>
      </c>
      <c r="D9" s="4" t="s">
        <v>25</v>
      </c>
      <c r="E9" s="6">
        <v>2</v>
      </c>
      <c r="F9" s="7">
        <v>142381</v>
      </c>
      <c r="G9" s="4" t="s">
        <v>20</v>
      </c>
      <c r="H9" s="4" t="s">
        <v>26</v>
      </c>
      <c r="I9" s="8">
        <f t="shared" si="0"/>
        <v>284762</v>
      </c>
      <c r="J9" s="8">
        <f t="shared" si="1"/>
        <v>10</v>
      </c>
      <c r="M9" s="3">
        <v>8</v>
      </c>
      <c r="N9" s="3">
        <f t="shared" si="2"/>
        <v>332508</v>
      </c>
      <c r="O9" s="3">
        <f>AVERAGE(N2:N13)</f>
        <v>646640</v>
      </c>
    </row>
    <row r="10" spans="1:15" ht="22.5" customHeight="1" x14ac:dyDescent="0.2">
      <c r="A10" s="4" t="s">
        <v>35</v>
      </c>
      <c r="B10" s="5">
        <v>46321</v>
      </c>
      <c r="C10" s="4" t="s">
        <v>23</v>
      </c>
      <c r="D10" s="4" t="s">
        <v>36</v>
      </c>
      <c r="E10" s="6">
        <v>1</v>
      </c>
      <c r="F10" s="7">
        <v>142035</v>
      </c>
      <c r="G10" s="4" t="s">
        <v>30</v>
      </c>
      <c r="H10" s="4" t="s">
        <v>37</v>
      </c>
      <c r="I10" s="8">
        <f t="shared" si="0"/>
        <v>142035</v>
      </c>
      <c r="J10" s="8">
        <f t="shared" si="1"/>
        <v>10</v>
      </c>
      <c r="M10" s="3">
        <v>9</v>
      </c>
      <c r="N10" s="3">
        <f t="shared" si="2"/>
        <v>127949</v>
      </c>
      <c r="O10" s="3">
        <f>AVERAGE(N2:N13)</f>
        <v>646640</v>
      </c>
    </row>
    <row r="11" spans="1:15" ht="22.5" customHeight="1" x14ac:dyDescent="0.2">
      <c r="A11" s="4" t="s">
        <v>38</v>
      </c>
      <c r="B11" s="5">
        <v>46093</v>
      </c>
      <c r="C11" s="4" t="s">
        <v>39</v>
      </c>
      <c r="D11" s="4" t="s">
        <v>36</v>
      </c>
      <c r="E11" s="6">
        <v>1</v>
      </c>
      <c r="F11" s="7">
        <v>100393</v>
      </c>
      <c r="G11" s="4" t="s">
        <v>30</v>
      </c>
      <c r="H11" s="4" t="s">
        <v>16</v>
      </c>
      <c r="I11" s="8">
        <f t="shared" si="0"/>
        <v>100393</v>
      </c>
      <c r="J11" s="8">
        <f t="shared" si="1"/>
        <v>3</v>
      </c>
      <c r="M11" s="3">
        <v>10</v>
      </c>
      <c r="N11" s="3">
        <f t="shared" si="2"/>
        <v>716678</v>
      </c>
      <c r="O11" s="3">
        <f>AVERAGE(N2:N13)</f>
        <v>646640</v>
      </c>
    </row>
    <row r="12" spans="1:15" ht="22.5" customHeight="1" x14ac:dyDescent="0.2">
      <c r="A12" s="4" t="s">
        <v>40</v>
      </c>
      <c r="B12" s="5">
        <v>46371</v>
      </c>
      <c r="C12" s="4" t="s">
        <v>32</v>
      </c>
      <c r="D12" s="4" t="s">
        <v>41</v>
      </c>
      <c r="E12" s="6">
        <v>1</v>
      </c>
      <c r="F12" s="7">
        <v>112156</v>
      </c>
      <c r="G12" s="4" t="s">
        <v>15</v>
      </c>
      <c r="H12" s="4" t="s">
        <v>21</v>
      </c>
      <c r="I12" s="8">
        <f t="shared" si="0"/>
        <v>112156</v>
      </c>
      <c r="J12" s="8">
        <f t="shared" si="1"/>
        <v>12</v>
      </c>
      <c r="M12" s="3">
        <v>11</v>
      </c>
      <c r="N12" s="3">
        <f t="shared" si="2"/>
        <v>1794540</v>
      </c>
      <c r="O12" s="3">
        <f>AVERAGE(N2:N13)</f>
        <v>646640</v>
      </c>
    </row>
    <row r="13" spans="1:15" ht="22.5" customHeight="1" x14ac:dyDescent="0.2">
      <c r="A13" s="4" t="s">
        <v>42</v>
      </c>
      <c r="B13" s="5">
        <v>46220</v>
      </c>
      <c r="C13" s="4" t="s">
        <v>43</v>
      </c>
      <c r="D13" s="4" t="s">
        <v>41</v>
      </c>
      <c r="E13" s="6">
        <v>3</v>
      </c>
      <c r="F13" s="7">
        <v>18727</v>
      </c>
      <c r="G13" s="4" t="s">
        <v>15</v>
      </c>
      <c r="H13" s="4" t="s">
        <v>44</v>
      </c>
      <c r="I13" s="8">
        <f t="shared" si="0"/>
        <v>56181</v>
      </c>
      <c r="J13" s="8">
        <f t="shared" si="1"/>
        <v>7</v>
      </c>
      <c r="M13" s="3">
        <v>12</v>
      </c>
      <c r="N13" s="3">
        <f t="shared" si="2"/>
        <v>248464</v>
      </c>
      <c r="O13" s="3">
        <f>AVERAGE(N2:N13)</f>
        <v>646640</v>
      </c>
    </row>
    <row r="14" spans="1:15" ht="22.5" customHeight="1" x14ac:dyDescent="0.2">
      <c r="A14" s="4" t="s">
        <v>45</v>
      </c>
      <c r="B14" s="5">
        <v>46066</v>
      </c>
      <c r="C14" s="4" t="s">
        <v>46</v>
      </c>
      <c r="D14" s="4" t="s">
        <v>36</v>
      </c>
      <c r="E14" s="6">
        <v>3</v>
      </c>
      <c r="F14" s="7">
        <v>294980</v>
      </c>
      <c r="G14" s="4" t="s">
        <v>20</v>
      </c>
      <c r="H14" s="4" t="s">
        <v>21</v>
      </c>
      <c r="I14" s="8">
        <f t="shared" si="0"/>
        <v>884940</v>
      </c>
      <c r="J14" s="8">
        <f t="shared" si="1"/>
        <v>2</v>
      </c>
      <c r="M14" s="3" t="s">
        <v>47</v>
      </c>
      <c r="N14" s="3">
        <f>SUM(N2:N13)</f>
        <v>7759680</v>
      </c>
    </row>
    <row r="15" spans="1:15" ht="22.5" customHeight="1" x14ac:dyDescent="0.2">
      <c r="A15" s="4" t="s">
        <v>48</v>
      </c>
      <c r="B15" s="5">
        <v>46088</v>
      </c>
      <c r="C15" s="4" t="s">
        <v>28</v>
      </c>
      <c r="D15" s="4" t="s">
        <v>14</v>
      </c>
      <c r="E15" s="6">
        <v>3</v>
      </c>
      <c r="F15" s="7">
        <v>138297</v>
      </c>
      <c r="G15" s="4" t="s">
        <v>49</v>
      </c>
      <c r="H15" s="4" t="s">
        <v>44</v>
      </c>
      <c r="I15" s="8">
        <f t="shared" si="0"/>
        <v>414891</v>
      </c>
      <c r="J15" s="8">
        <f t="shared" si="1"/>
        <v>3</v>
      </c>
      <c r="M15" s="3" t="s">
        <v>50</v>
      </c>
      <c r="N15" s="3">
        <f>AVERAGE(N2:N13)</f>
        <v>646640</v>
      </c>
    </row>
    <row r="16" spans="1:15" ht="22.5" customHeight="1" x14ac:dyDescent="0.2">
      <c r="A16" s="4" t="s">
        <v>51</v>
      </c>
      <c r="B16" s="5">
        <v>46247</v>
      </c>
      <c r="C16" s="4" t="s">
        <v>52</v>
      </c>
      <c r="D16" s="4" t="s">
        <v>19</v>
      </c>
      <c r="E16" s="6">
        <v>2</v>
      </c>
      <c r="F16" s="7">
        <v>61149</v>
      </c>
      <c r="G16" s="4" t="s">
        <v>20</v>
      </c>
      <c r="H16" s="4" t="s">
        <v>21</v>
      </c>
      <c r="I16" s="8">
        <f t="shared" si="0"/>
        <v>122298</v>
      </c>
      <c r="J16" s="8">
        <f t="shared" si="1"/>
        <v>8</v>
      </c>
    </row>
    <row r="17" spans="1:10" ht="22.5" customHeight="1" x14ac:dyDescent="0.2">
      <c r="A17" s="4" t="s">
        <v>53</v>
      </c>
      <c r="B17" s="5">
        <v>46315</v>
      </c>
      <c r="C17" s="4" t="s">
        <v>54</v>
      </c>
      <c r="D17" s="4" t="s">
        <v>55</v>
      </c>
      <c r="E17" s="6">
        <v>3</v>
      </c>
      <c r="F17" s="7">
        <v>14895</v>
      </c>
      <c r="G17" s="4" t="s">
        <v>49</v>
      </c>
      <c r="H17" s="4" t="s">
        <v>26</v>
      </c>
      <c r="I17" s="8">
        <f t="shared" si="0"/>
        <v>44685</v>
      </c>
      <c r="J17" s="8">
        <f t="shared" si="1"/>
        <v>10</v>
      </c>
    </row>
    <row r="18" spans="1:10" ht="22.5" customHeight="1" x14ac:dyDescent="0.2">
      <c r="A18" s="4" t="s">
        <v>56</v>
      </c>
      <c r="B18" s="5">
        <v>46147</v>
      </c>
      <c r="C18" s="4" t="s">
        <v>54</v>
      </c>
      <c r="D18" s="4" t="s">
        <v>25</v>
      </c>
      <c r="E18" s="6">
        <v>3</v>
      </c>
      <c r="F18" s="7">
        <v>93280</v>
      </c>
      <c r="G18" s="4" t="s">
        <v>57</v>
      </c>
      <c r="H18" s="4" t="s">
        <v>37</v>
      </c>
      <c r="I18" s="8">
        <f t="shared" si="0"/>
        <v>279840</v>
      </c>
      <c r="J18" s="8">
        <f t="shared" si="1"/>
        <v>5</v>
      </c>
    </row>
    <row r="19" spans="1:10" ht="22.5" customHeight="1" x14ac:dyDescent="0.2">
      <c r="A19" s="4" t="s">
        <v>58</v>
      </c>
      <c r="B19" s="5">
        <v>46360</v>
      </c>
      <c r="C19" s="4" t="s">
        <v>39</v>
      </c>
      <c r="D19" s="4" t="s">
        <v>36</v>
      </c>
      <c r="E19" s="6">
        <v>3</v>
      </c>
      <c r="F19" s="7">
        <v>45436</v>
      </c>
      <c r="G19" s="4" t="s">
        <v>49</v>
      </c>
      <c r="H19" s="4" t="s">
        <v>16</v>
      </c>
      <c r="I19" s="8">
        <f t="shared" si="0"/>
        <v>136308</v>
      </c>
      <c r="J19" s="8">
        <f t="shared" si="1"/>
        <v>12</v>
      </c>
    </row>
    <row r="20" spans="1:10" ht="22.5" customHeight="1" x14ac:dyDescent="0.2">
      <c r="A20" s="4" t="s">
        <v>59</v>
      </c>
      <c r="B20" s="5">
        <v>46204</v>
      </c>
      <c r="C20" s="4" t="s">
        <v>43</v>
      </c>
      <c r="D20" s="4" t="s">
        <v>41</v>
      </c>
      <c r="E20" s="6">
        <v>2</v>
      </c>
      <c r="F20" s="7">
        <v>47532</v>
      </c>
      <c r="G20" s="4" t="s">
        <v>20</v>
      </c>
      <c r="H20" s="4" t="s">
        <v>16</v>
      </c>
      <c r="I20" s="8">
        <f t="shared" si="0"/>
        <v>95064</v>
      </c>
      <c r="J20" s="8">
        <f t="shared" si="1"/>
        <v>7</v>
      </c>
    </row>
    <row r="21" spans="1:10" ht="15.75" customHeight="1" x14ac:dyDescent="0.2">
      <c r="A21" s="4" t="s">
        <v>60</v>
      </c>
      <c r="B21" s="5">
        <v>46233</v>
      </c>
      <c r="C21" s="4" t="s">
        <v>61</v>
      </c>
      <c r="D21" s="4" t="s">
        <v>19</v>
      </c>
      <c r="E21" s="6">
        <v>1</v>
      </c>
      <c r="F21" s="7">
        <v>52407</v>
      </c>
      <c r="G21" s="4" t="s">
        <v>57</v>
      </c>
      <c r="H21" s="4" t="s">
        <v>21</v>
      </c>
      <c r="I21" s="8">
        <f t="shared" si="0"/>
        <v>52407</v>
      </c>
      <c r="J21" s="8">
        <f t="shared" si="1"/>
        <v>7</v>
      </c>
    </row>
    <row r="22" spans="1:10" ht="15.75" customHeight="1" x14ac:dyDescent="0.2">
      <c r="A22" s="4" t="s">
        <v>62</v>
      </c>
      <c r="B22" s="5">
        <v>46054</v>
      </c>
      <c r="C22" s="4" t="s">
        <v>54</v>
      </c>
      <c r="D22" s="4" t="s">
        <v>25</v>
      </c>
      <c r="E22" s="6">
        <v>2</v>
      </c>
      <c r="F22" s="7">
        <v>119733</v>
      </c>
      <c r="G22" s="4" t="s">
        <v>49</v>
      </c>
      <c r="H22" s="4" t="s">
        <v>26</v>
      </c>
      <c r="I22" s="8">
        <f t="shared" si="0"/>
        <v>239466</v>
      </c>
      <c r="J22" s="8">
        <f t="shared" si="1"/>
        <v>2</v>
      </c>
    </row>
    <row r="23" spans="1:10" ht="15.75" customHeight="1" x14ac:dyDescent="0.2">
      <c r="A23" s="4" t="s">
        <v>63</v>
      </c>
      <c r="B23" s="5">
        <v>46120</v>
      </c>
      <c r="C23" s="4" t="s">
        <v>43</v>
      </c>
      <c r="D23" s="4" t="s">
        <v>25</v>
      </c>
      <c r="E23" s="6">
        <v>1</v>
      </c>
      <c r="F23" s="7">
        <v>100498</v>
      </c>
      <c r="G23" s="4" t="s">
        <v>30</v>
      </c>
      <c r="H23" s="4" t="s">
        <v>26</v>
      </c>
      <c r="I23" s="8">
        <f t="shared" si="0"/>
        <v>100498</v>
      </c>
      <c r="J23" s="8">
        <f t="shared" si="1"/>
        <v>4</v>
      </c>
    </row>
    <row r="24" spans="1:10" ht="15.75" customHeight="1" x14ac:dyDescent="0.2">
      <c r="A24" s="4" t="s">
        <v>64</v>
      </c>
      <c r="B24" s="5">
        <v>46094</v>
      </c>
      <c r="C24" s="4" t="s">
        <v>28</v>
      </c>
      <c r="D24" s="4" t="s">
        <v>19</v>
      </c>
      <c r="E24" s="6">
        <v>1</v>
      </c>
      <c r="F24" s="7">
        <v>67267</v>
      </c>
      <c r="G24" s="4" t="s">
        <v>57</v>
      </c>
      <c r="H24" s="4" t="s">
        <v>16</v>
      </c>
      <c r="I24" s="8">
        <f t="shared" si="0"/>
        <v>67267</v>
      </c>
      <c r="J24" s="8">
        <f t="shared" si="1"/>
        <v>3</v>
      </c>
    </row>
    <row r="25" spans="1:10" ht="15.75" customHeight="1" x14ac:dyDescent="0.2">
      <c r="A25" s="4" t="s">
        <v>65</v>
      </c>
      <c r="B25" s="5">
        <v>46271</v>
      </c>
      <c r="C25" s="4" t="s">
        <v>46</v>
      </c>
      <c r="D25" s="4" t="s">
        <v>36</v>
      </c>
      <c r="E25" s="6">
        <v>1</v>
      </c>
      <c r="F25" s="7">
        <v>127949</v>
      </c>
      <c r="G25" s="4" t="s">
        <v>20</v>
      </c>
      <c r="H25" s="4" t="s">
        <v>21</v>
      </c>
      <c r="I25" s="8">
        <f t="shared" si="0"/>
        <v>127949</v>
      </c>
      <c r="J25" s="8">
        <f t="shared" si="1"/>
        <v>9</v>
      </c>
    </row>
    <row r="26" spans="1:10" ht="15.75" customHeight="1" x14ac:dyDescent="0.2">
      <c r="A26" s="4" t="s">
        <v>66</v>
      </c>
      <c r="B26" s="5">
        <v>46132</v>
      </c>
      <c r="C26" s="4" t="s">
        <v>43</v>
      </c>
      <c r="D26" s="4" t="s">
        <v>14</v>
      </c>
      <c r="E26" s="6">
        <v>2</v>
      </c>
      <c r="F26" s="7">
        <v>55860</v>
      </c>
      <c r="G26" s="4" t="s">
        <v>20</v>
      </c>
      <c r="H26" s="4" t="s">
        <v>26</v>
      </c>
      <c r="I26" s="8">
        <f t="shared" si="0"/>
        <v>111720</v>
      </c>
      <c r="J26" s="8">
        <f t="shared" si="1"/>
        <v>4</v>
      </c>
    </row>
    <row r="27" spans="1:10" ht="15.75" customHeight="1" x14ac:dyDescent="0.2">
      <c r="A27" s="4" t="s">
        <v>67</v>
      </c>
      <c r="B27" s="5">
        <v>46239</v>
      </c>
      <c r="C27" s="4" t="s">
        <v>39</v>
      </c>
      <c r="D27" s="4" t="s">
        <v>68</v>
      </c>
      <c r="E27" s="6">
        <v>2</v>
      </c>
      <c r="F27" s="7">
        <v>105105</v>
      </c>
      <c r="G27" s="4" t="s">
        <v>30</v>
      </c>
      <c r="H27" s="4" t="s">
        <v>26</v>
      </c>
      <c r="I27" s="8">
        <f t="shared" si="0"/>
        <v>210210</v>
      </c>
      <c r="J27" s="8">
        <f t="shared" si="1"/>
        <v>8</v>
      </c>
    </row>
    <row r="28" spans="1:10" ht="15.75" customHeight="1" x14ac:dyDescent="0.2">
      <c r="A28" s="4" t="s">
        <v>69</v>
      </c>
      <c r="B28" s="5">
        <v>46103</v>
      </c>
      <c r="C28" s="4" t="s">
        <v>70</v>
      </c>
      <c r="E28" s="6">
        <v>1</v>
      </c>
      <c r="F28" s="7">
        <v>108928</v>
      </c>
      <c r="G28" s="4" t="s">
        <v>30</v>
      </c>
      <c r="H28" s="4" t="s">
        <v>26</v>
      </c>
      <c r="I28" s="8">
        <f t="shared" si="0"/>
        <v>108928</v>
      </c>
      <c r="J28" s="8">
        <f t="shared" si="1"/>
        <v>3</v>
      </c>
    </row>
    <row r="29" spans="1:10" ht="15.75" customHeight="1" x14ac:dyDescent="0.2">
      <c r="A29" s="4" t="s">
        <v>71</v>
      </c>
      <c r="B29" s="5">
        <v>46105</v>
      </c>
      <c r="C29" s="4" t="s">
        <v>28</v>
      </c>
      <c r="D29" s="4" t="s">
        <v>36</v>
      </c>
      <c r="E29" s="6">
        <v>1</v>
      </c>
      <c r="F29" s="7">
        <v>127974</v>
      </c>
      <c r="G29" s="4" t="s">
        <v>15</v>
      </c>
      <c r="H29" s="4" t="s">
        <v>44</v>
      </c>
      <c r="I29" s="8">
        <f t="shared" si="0"/>
        <v>127974</v>
      </c>
      <c r="J29" s="8">
        <f t="shared" si="1"/>
        <v>3</v>
      </c>
    </row>
    <row r="30" spans="1:10" ht="15.75" customHeight="1" x14ac:dyDescent="0.2">
      <c r="A30" s="4" t="s">
        <v>72</v>
      </c>
      <c r="B30" s="5">
        <v>46305</v>
      </c>
      <c r="C30" s="4" t="s">
        <v>73</v>
      </c>
      <c r="D30" s="4" t="s">
        <v>14</v>
      </c>
      <c r="E30" s="6">
        <v>2</v>
      </c>
      <c r="F30" s="7">
        <v>122598</v>
      </c>
      <c r="G30" s="4" t="s">
        <v>30</v>
      </c>
      <c r="H30" s="4" t="s">
        <v>37</v>
      </c>
      <c r="I30" s="8">
        <f t="shared" si="0"/>
        <v>245196</v>
      </c>
      <c r="J30" s="8">
        <f t="shared" si="1"/>
        <v>10</v>
      </c>
    </row>
    <row r="31" spans="1:10" ht="15.75" customHeight="1" x14ac:dyDescent="0.2">
      <c r="A31" s="4" t="s">
        <v>74</v>
      </c>
      <c r="B31" s="5">
        <v>46188</v>
      </c>
      <c r="C31" s="4" t="s">
        <v>75</v>
      </c>
      <c r="D31" s="4" t="s">
        <v>25</v>
      </c>
      <c r="E31" s="6">
        <v>2</v>
      </c>
      <c r="F31" s="7">
        <v>299278</v>
      </c>
      <c r="G31" s="4" t="s">
        <v>30</v>
      </c>
      <c r="H31" s="4" t="s">
        <v>44</v>
      </c>
      <c r="I31" s="8">
        <f t="shared" si="0"/>
        <v>598556</v>
      </c>
      <c r="J31" s="8">
        <f t="shared" si="1"/>
        <v>6</v>
      </c>
    </row>
    <row r="32" spans="1:10" ht="15.75" customHeight="1" x14ac:dyDescent="0.2"/>
    <row r="33" spans="1:6" ht="15.75" customHeight="1" x14ac:dyDescent="0.2"/>
    <row r="34" spans="1:6" ht="15.75" customHeight="1" x14ac:dyDescent="0.2"/>
    <row r="35" spans="1:6" ht="15.75" customHeight="1" x14ac:dyDescent="0.2">
      <c r="A35" s="10">
        <v>46060</v>
      </c>
      <c r="B35" s="3" t="s">
        <v>82</v>
      </c>
    </row>
    <row r="36" spans="1:6" ht="15.75" customHeight="1" x14ac:dyDescent="0.2">
      <c r="A36" s="10">
        <v>46088</v>
      </c>
      <c r="B36" s="11">
        <f>AVERAGE(N14)/30</f>
        <v>258656</v>
      </c>
    </row>
    <row r="37" spans="1:6" ht="15.75" customHeight="1" x14ac:dyDescent="0.2">
      <c r="A37" s="10">
        <v>46119</v>
      </c>
      <c r="B37" s="11">
        <f>AVERAGE(N2:N13)</f>
        <v>646640</v>
      </c>
    </row>
    <row r="38" spans="1:6" ht="15.75" customHeight="1" x14ac:dyDescent="0.2">
      <c r="A38" s="10">
        <v>46149</v>
      </c>
      <c r="B38" s="11">
        <f>AVERAGE(N10:N12)/100</f>
        <v>8797.2233333333334</v>
      </c>
    </row>
    <row r="39" spans="1:6" ht="15.75" customHeight="1" x14ac:dyDescent="0.2">
      <c r="A39" s="10">
        <v>46180</v>
      </c>
      <c r="B39" s="3">
        <f>MIN(N8:N13)</f>
        <v>127949</v>
      </c>
    </row>
    <row r="40" spans="1:6" ht="15.75" customHeight="1" x14ac:dyDescent="0.2">
      <c r="A40" s="10">
        <v>46210</v>
      </c>
      <c r="B40" s="3">
        <v>4</v>
      </c>
    </row>
    <row r="41" spans="1:6" ht="15.75" customHeight="1" x14ac:dyDescent="0.2">
      <c r="A41" s="10">
        <v>46241</v>
      </c>
      <c r="B41" s="3" t="s">
        <v>76</v>
      </c>
      <c r="C41" s="12">
        <v>1</v>
      </c>
      <c r="D41" s="12">
        <f t="shared" ref="D41:D52" si="3">SUMIF($J$2:$J$31,C41,$I$2:$I$31)</f>
        <v>413985</v>
      </c>
      <c r="E41" s="13" t="s">
        <v>77</v>
      </c>
    </row>
    <row r="42" spans="1:6" ht="15.75" customHeight="1" x14ac:dyDescent="0.2">
      <c r="C42" s="14">
        <v>2</v>
      </c>
      <c r="D42" s="14">
        <f t="shared" si="3"/>
        <v>1278414</v>
      </c>
      <c r="E42" s="13">
        <f>D42</f>
        <v>1278414</v>
      </c>
    </row>
    <row r="43" spans="1:6" ht="15.75" customHeight="1" x14ac:dyDescent="0.2">
      <c r="C43" s="15">
        <v>3</v>
      </c>
      <c r="D43" s="15">
        <f t="shared" si="3"/>
        <v>1208502</v>
      </c>
      <c r="E43" s="13" t="s">
        <v>76</v>
      </c>
      <c r="F43" s="11">
        <f>E44-E42</f>
        <v>-606942.66666666663</v>
      </c>
    </row>
    <row r="44" spans="1:6" ht="15.75" customHeight="1" x14ac:dyDescent="0.2">
      <c r="C44" s="15">
        <v>4</v>
      </c>
      <c r="D44" s="15">
        <f t="shared" si="3"/>
        <v>526072</v>
      </c>
      <c r="E44" s="16">
        <f>SUM(D43:D45)/3</f>
        <v>671471.33333333337</v>
      </c>
    </row>
    <row r="45" spans="1:6" ht="15.75" customHeight="1" x14ac:dyDescent="0.2">
      <c r="C45" s="15">
        <v>5</v>
      </c>
      <c r="D45" s="15">
        <f t="shared" si="3"/>
        <v>279840</v>
      </c>
      <c r="E45" s="13"/>
    </row>
    <row r="46" spans="1:6" ht="15.75" customHeight="1" x14ac:dyDescent="0.2">
      <c r="C46" s="14">
        <v>6</v>
      </c>
      <c r="D46" s="14">
        <f t="shared" si="3"/>
        <v>598556</v>
      </c>
      <c r="E46" s="13" t="s">
        <v>78</v>
      </c>
      <c r="F46" s="17">
        <f>E47-E44</f>
        <v>-283059.33333333337</v>
      </c>
    </row>
    <row r="47" spans="1:6" ht="15.75" customHeight="1" x14ac:dyDescent="0.2">
      <c r="C47" s="15">
        <v>7</v>
      </c>
      <c r="D47" s="15">
        <f t="shared" si="3"/>
        <v>234172</v>
      </c>
      <c r="E47" s="18">
        <f>SUM(D46:D48)/3</f>
        <v>388412</v>
      </c>
    </row>
    <row r="48" spans="1:6" ht="15.75" customHeight="1" x14ac:dyDescent="0.2">
      <c r="C48" s="14">
        <v>8</v>
      </c>
      <c r="D48" s="14">
        <f t="shared" si="3"/>
        <v>332508</v>
      </c>
      <c r="E48" s="13"/>
    </row>
    <row r="49" spans="1:6" ht="15.75" customHeight="1" x14ac:dyDescent="0.2">
      <c r="C49" s="15">
        <v>9</v>
      </c>
      <c r="D49" s="15">
        <f t="shared" si="3"/>
        <v>127949</v>
      </c>
      <c r="E49" s="13" t="s">
        <v>79</v>
      </c>
      <c r="F49" s="11">
        <f>E50-E47</f>
        <v>491310.33333333337</v>
      </c>
    </row>
    <row r="50" spans="1:6" ht="15.75" customHeight="1" x14ac:dyDescent="0.2">
      <c r="C50" s="15">
        <v>10</v>
      </c>
      <c r="D50" s="15">
        <f t="shared" si="3"/>
        <v>716678</v>
      </c>
      <c r="E50" s="16">
        <f>SUM(D49:D51)/3</f>
        <v>879722.33333333337</v>
      </c>
    </row>
    <row r="51" spans="1:6" ht="15.75" customHeight="1" x14ac:dyDescent="0.2">
      <c r="C51" s="14">
        <v>11</v>
      </c>
      <c r="D51" s="14">
        <f t="shared" si="3"/>
        <v>1794540</v>
      </c>
      <c r="E51" s="13"/>
    </row>
    <row r="52" spans="1:6" ht="15.75" customHeight="1" x14ac:dyDescent="0.2">
      <c r="C52" s="12">
        <v>12</v>
      </c>
      <c r="D52" s="12">
        <f t="shared" si="3"/>
        <v>248464</v>
      </c>
      <c r="E52" s="13"/>
    </row>
    <row r="53" spans="1:6" ht="15.75" customHeight="1" x14ac:dyDescent="0.2">
      <c r="C53" s="19"/>
      <c r="D53" s="13"/>
      <c r="E53" s="19"/>
    </row>
    <row r="54" spans="1:6" ht="15.75" customHeight="1" x14ac:dyDescent="0.2">
      <c r="A54" s="10">
        <v>46272</v>
      </c>
      <c r="B54" s="3">
        <v>8</v>
      </c>
      <c r="C54" s="19"/>
      <c r="D54" s="13"/>
      <c r="E54" s="19"/>
    </row>
    <row r="55" spans="1:6" ht="15.75" customHeight="1" x14ac:dyDescent="0.2">
      <c r="A55" s="10">
        <v>46302</v>
      </c>
      <c r="B55" s="3" t="s">
        <v>80</v>
      </c>
    </row>
    <row r="56" spans="1:6" ht="15.75" customHeight="1" x14ac:dyDescent="0.2">
      <c r="A56" s="10">
        <v>46333</v>
      </c>
      <c r="B56" s="3" t="s">
        <v>81</v>
      </c>
    </row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4">
    <dataValidation type="list" allowBlank="1" showDropDown="1" showErrorMessage="1" sqref="H2:H31" xr:uid="{00000000-0002-0000-0000-000000000000}">
      <formula1>"Иванов И.И.,Смирнова Е.В.,Сидоров В.К.,смирнова е.в.,Петрова А.С."</formula1>
    </dataValidation>
    <dataValidation type="custom" allowBlank="1" showDropDown="1" sqref="B2:B31" xr:uid="{00000000-0002-0000-0000-000001000000}">
      <formula1>OR(NOT(ISERROR(DATEVALUE(B2))), AND(ISNUMBER(B2), LEFT(CELL("format", B2))="D"))</formula1>
    </dataValidation>
    <dataValidation type="list" allowBlank="1" showDropDown="1" showErrorMessage="1" sqref="G2:G31" xr:uid="{00000000-0002-0000-0000-000002000000}">
      <formula1>"Яндекс.Маркет,Эльдорадо,ДНС,Ситилинк,М.Видео"</formula1>
    </dataValidation>
    <dataValidation type="custom" allowBlank="1" showDropDown="1" sqref="E2:F31 J2:J31" xr:uid="{00000000-0002-0000-0000-000003000000}">
      <formula1>AND(ISNUMBER(E2),(NOT(OR(NOT(ISERROR(DATEVALUE(E2))), AND(ISNUMBER(E2), LEFT(CELL("format", E2))="D")))))</formula1>
    </dataValidation>
  </dataValidations>
  <pageMargins left="0.75" right="0.75" top="1" bottom="1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2026-07-31T17:33:05Z</dcterms:created>
  <dcterms:modified xsi:type="dcterms:W3CDTF">2026-10-29T17:28:11Z</dcterms:modified>
</cp:coreProperties>
</file>